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13_ncr:1_{2F845E75-E805-43E4-9DE5-3FD6350A112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sponses" sheetId="1" r:id="rId1"/>
    <sheet name="recap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1" l="1"/>
  <c r="B7" i="2"/>
  <c r="B8" i="2"/>
  <c r="L14" i="1"/>
  <c r="K14" i="1"/>
  <c r="J14" i="1"/>
  <c r="I14" i="1"/>
  <c r="H14" i="1"/>
  <c r="G14" i="1"/>
  <c r="F14" i="1"/>
  <c r="E14" i="1"/>
  <c r="D14" i="1"/>
  <c r="C14" i="1"/>
  <c r="M13" i="1"/>
  <c r="M11" i="1"/>
  <c r="M10" i="1"/>
  <c r="M9" i="1"/>
  <c r="M8" i="1"/>
  <c r="M7" i="1"/>
  <c r="M6" i="1"/>
  <c r="M5" i="1"/>
  <c r="M4" i="1"/>
  <c r="M3" i="1"/>
  <c r="M2" i="1"/>
  <c r="B2" i="2" l="1"/>
  <c r="B6" i="2"/>
  <c r="B4" i="2"/>
  <c r="M14" i="1"/>
  <c r="B1" i="2"/>
  <c r="B3" i="2"/>
  <c r="B5" i="2"/>
</calcChain>
</file>

<file path=xl/sharedStrings.xml><?xml version="1.0" encoding="utf-8"?>
<sst xmlns="http://schemas.openxmlformats.org/spreadsheetml/2006/main" count="36" uniqueCount="26">
  <si>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</si>
  <si>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</si>
  <si>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</si>
  <si>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</si>
  <si>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</si>
  <si>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</si>
  <si>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</si>
  <si>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</si>
  <si>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</si>
  <si>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</si>
  <si>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</si>
  <si>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Grade (CGS)</t>
  </si>
  <si>
    <t>A+</t>
  </si>
  <si>
    <t>Profile</t>
  </si>
  <si>
    <t>SUS Score</t>
  </si>
  <si>
    <t>N participant</t>
  </si>
  <si>
    <t>Mean SUS score</t>
  </si>
  <si>
    <t>Standard deviation</t>
  </si>
  <si>
    <t>Median</t>
  </si>
  <si>
    <t>Minimum</t>
  </si>
  <si>
    <t>Maximum</t>
  </si>
  <si>
    <t>SE/ML</t>
  </si>
  <si>
    <t>No programming</t>
  </si>
  <si>
    <t>`</t>
  </si>
  <si>
    <t>Mean SUS (SE/ML)</t>
  </si>
  <si>
    <t>Mean SUS (No programming)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</si>
</sst>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Arial"/>
      <family val="2"/>
    </font>
    <font>
      <sz val="11"/>
      <name val="Calibri"/>
      <family val="2"/>
      <charset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Normal="100" workbookViewId="0">
      <selection activeCell="N1" sqref="N1"/>
    </sheetView>
  </sheetViews>
  <sheetFormatPr defaultColWidth="8.6328125" defaultRowHeight="14.5" x14ac:dyDescent="0.35"/>
  <cols>
    <col min="1" max="1" width="8" customWidth="1"/>
    <col min="2" max="2" width="20" customWidth="1"/>
    <col min="3" max="12" width="6" customWidth="1"/>
    <col min="13" max="13" width="10" bestFit="1" customWidth="1"/>
  </cols>
  <sheetData>
    <row r="1" spans="1:15" s="7" customFormat="1" x14ac:dyDescent="0.35">
      <c r="A1" s="10" t="s">
        <v>0</v>
      </c>
      <c r="B1" s="10" t="s">
        <v>13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14</v>
      </c>
    </row>
    <row r="2" spans="1:15" s="7" customFormat="1" x14ac:dyDescent="0.35">
      <c r="A2" s="1">
        <v>1</v>
      </c>
      <c r="B2" s="2" t="s">
        <v>21</v>
      </c>
      <c r="C2" s="9">
        <v>4</v>
      </c>
      <c r="D2" s="9">
        <v>1</v>
      </c>
      <c r="E2" s="9">
        <v>5</v>
      </c>
      <c r="F2" s="9">
        <v>2</v>
      </c>
      <c r="G2" s="9">
        <v>4</v>
      </c>
      <c r="H2" s="9">
        <v>1</v>
      </c>
      <c r="I2" s="9">
        <v>5</v>
      </c>
      <c r="J2" s="9">
        <v>1</v>
      </c>
      <c r="K2" s="9">
        <v>4</v>
      </c>
      <c r="L2" s="9">
        <v>2</v>
      </c>
      <c r="M2" s="3">
        <f t="shared" ref="M2:M13" si="0">2.5*((C2+E2+G2+I2+K2)-(D2+F2+H2+J2+L2)+20)</f>
        <v>87.5</v>
      </c>
    </row>
    <row r="3" spans="1:15" s="7" customFormat="1" x14ac:dyDescent="0.35">
      <c r="A3" s="1">
        <v>2</v>
      </c>
      <c r="B3" s="2" t="s">
        <v>21</v>
      </c>
      <c r="C3" s="9">
        <v>4</v>
      </c>
      <c r="D3" s="9">
        <v>2</v>
      </c>
      <c r="E3" s="9">
        <v>5</v>
      </c>
      <c r="F3" s="9">
        <v>2</v>
      </c>
      <c r="G3" s="9">
        <v>4</v>
      </c>
      <c r="H3" s="9">
        <v>2</v>
      </c>
      <c r="I3" s="9">
        <v>5</v>
      </c>
      <c r="J3" s="9">
        <v>2</v>
      </c>
      <c r="K3" s="9">
        <v>4</v>
      </c>
      <c r="L3" s="9">
        <v>2</v>
      </c>
      <c r="M3" s="3">
        <f t="shared" si="0"/>
        <v>80</v>
      </c>
    </row>
    <row r="4" spans="1:15" s="7" customFormat="1" x14ac:dyDescent="0.35">
      <c r="A4" s="1">
        <v>3</v>
      </c>
      <c r="B4" s="2" t="s">
        <v>22</v>
      </c>
      <c r="C4" s="9">
        <v>4</v>
      </c>
      <c r="D4" s="9">
        <v>1</v>
      </c>
      <c r="E4" s="9">
        <v>5</v>
      </c>
      <c r="F4" s="9">
        <v>1</v>
      </c>
      <c r="G4" s="9">
        <v>5</v>
      </c>
      <c r="H4" s="9">
        <v>1</v>
      </c>
      <c r="I4" s="9">
        <v>5</v>
      </c>
      <c r="J4" s="9">
        <v>1</v>
      </c>
      <c r="K4" s="9">
        <v>4</v>
      </c>
      <c r="L4" s="9">
        <v>2</v>
      </c>
      <c r="M4" s="3">
        <f t="shared" si="0"/>
        <v>92.5</v>
      </c>
    </row>
    <row r="5" spans="1:15" s="7" customFormat="1" x14ac:dyDescent="0.35">
      <c r="A5" s="1">
        <v>4</v>
      </c>
      <c r="B5" s="2" t="s">
        <v>21</v>
      </c>
      <c r="C5" s="9">
        <v>5</v>
      </c>
      <c r="D5" s="9">
        <v>2</v>
      </c>
      <c r="E5" s="9">
        <v>5</v>
      </c>
      <c r="F5" s="9">
        <v>3</v>
      </c>
      <c r="G5" s="9">
        <v>5</v>
      </c>
      <c r="H5" s="9">
        <v>2</v>
      </c>
      <c r="I5" s="9">
        <v>5</v>
      </c>
      <c r="J5" s="9">
        <v>2</v>
      </c>
      <c r="K5" s="9">
        <v>4</v>
      </c>
      <c r="L5" s="9">
        <v>2</v>
      </c>
      <c r="M5" s="3">
        <f t="shared" si="0"/>
        <v>82.5</v>
      </c>
    </row>
    <row r="6" spans="1:15" s="7" customFormat="1" x14ac:dyDescent="0.35">
      <c r="A6" s="1">
        <v>5</v>
      </c>
      <c r="B6" s="2" t="s">
        <v>22</v>
      </c>
      <c r="C6" s="9">
        <v>4</v>
      </c>
      <c r="D6" s="9">
        <v>1</v>
      </c>
      <c r="E6" s="9">
        <v>5</v>
      </c>
      <c r="F6" s="9">
        <v>2</v>
      </c>
      <c r="G6" s="9">
        <v>5</v>
      </c>
      <c r="H6" s="9">
        <v>2</v>
      </c>
      <c r="I6" s="9">
        <v>4</v>
      </c>
      <c r="J6" s="9">
        <v>1</v>
      </c>
      <c r="K6" s="9">
        <v>4</v>
      </c>
      <c r="L6" s="9">
        <v>2</v>
      </c>
      <c r="M6" s="3">
        <f t="shared" si="0"/>
        <v>85</v>
      </c>
    </row>
    <row r="7" spans="1:15" s="7" customFormat="1" x14ac:dyDescent="0.35">
      <c r="A7" s="1">
        <v>6</v>
      </c>
      <c r="B7" s="2" t="s">
        <v>22</v>
      </c>
      <c r="C7" s="9">
        <v>4</v>
      </c>
      <c r="D7" s="9">
        <v>2</v>
      </c>
      <c r="E7" s="9">
        <v>5</v>
      </c>
      <c r="F7" s="9">
        <v>2</v>
      </c>
      <c r="G7" s="9">
        <v>4</v>
      </c>
      <c r="H7" s="9">
        <v>1</v>
      </c>
      <c r="I7" s="9">
        <v>4</v>
      </c>
      <c r="J7" s="9">
        <v>2</v>
      </c>
      <c r="K7" s="9">
        <v>5</v>
      </c>
      <c r="L7" s="9">
        <v>2</v>
      </c>
      <c r="M7" s="3">
        <f t="shared" si="0"/>
        <v>82.5</v>
      </c>
    </row>
    <row r="8" spans="1:15" s="7" customFormat="1" x14ac:dyDescent="0.35">
      <c r="A8" s="1">
        <v>7</v>
      </c>
      <c r="B8" s="2" t="s">
        <v>22</v>
      </c>
      <c r="C8" s="9">
        <v>4</v>
      </c>
      <c r="D8" s="9">
        <v>1</v>
      </c>
      <c r="E8" s="9">
        <v>5</v>
      </c>
      <c r="F8" s="9">
        <v>1</v>
      </c>
      <c r="G8" s="9">
        <v>4</v>
      </c>
      <c r="H8" s="9">
        <v>1</v>
      </c>
      <c r="I8" s="9">
        <v>5</v>
      </c>
      <c r="J8" s="9">
        <v>2</v>
      </c>
      <c r="K8" s="9">
        <v>5</v>
      </c>
      <c r="L8" s="9">
        <v>2</v>
      </c>
      <c r="M8" s="3">
        <f t="shared" si="0"/>
        <v>90</v>
      </c>
    </row>
    <row r="9" spans="1:15" s="7" customFormat="1" x14ac:dyDescent="0.35">
      <c r="A9" s="1">
        <v>8</v>
      </c>
      <c r="B9" s="2" t="s">
        <v>21</v>
      </c>
      <c r="C9" s="9">
        <v>5</v>
      </c>
      <c r="D9" s="9">
        <v>2</v>
      </c>
      <c r="E9" s="9">
        <v>5</v>
      </c>
      <c r="F9" s="9">
        <v>3</v>
      </c>
      <c r="G9" s="9">
        <v>4</v>
      </c>
      <c r="H9" s="9">
        <v>1</v>
      </c>
      <c r="I9" s="9">
        <v>4</v>
      </c>
      <c r="J9" s="9">
        <v>2</v>
      </c>
      <c r="K9" s="9">
        <v>4</v>
      </c>
      <c r="L9" s="9">
        <v>3</v>
      </c>
      <c r="M9" s="3">
        <f t="shared" si="0"/>
        <v>77.5</v>
      </c>
    </row>
    <row r="10" spans="1:15" s="7" customFormat="1" x14ac:dyDescent="0.35">
      <c r="A10" s="1">
        <v>9</v>
      </c>
      <c r="B10" s="2" t="s">
        <v>21</v>
      </c>
      <c r="C10" s="9">
        <v>5</v>
      </c>
      <c r="D10" s="9">
        <v>1</v>
      </c>
      <c r="E10" s="9">
        <v>5</v>
      </c>
      <c r="F10" s="9">
        <v>2</v>
      </c>
      <c r="G10" s="9">
        <v>4</v>
      </c>
      <c r="H10" s="9">
        <v>2</v>
      </c>
      <c r="I10" s="9">
        <v>4</v>
      </c>
      <c r="J10" s="9">
        <v>2</v>
      </c>
      <c r="K10" s="9">
        <v>5</v>
      </c>
      <c r="L10" s="9">
        <v>2</v>
      </c>
      <c r="M10" s="3">
        <f t="shared" si="0"/>
        <v>85</v>
      </c>
    </row>
    <row r="11" spans="1:15" s="7" customFormat="1" x14ac:dyDescent="0.35">
      <c r="A11" s="1">
        <v>10</v>
      </c>
      <c r="B11" s="2" t="s">
        <v>21</v>
      </c>
      <c r="C11" s="9">
        <v>4</v>
      </c>
      <c r="D11" s="9">
        <v>2</v>
      </c>
      <c r="E11" s="9">
        <v>5</v>
      </c>
      <c r="F11" s="9">
        <v>2</v>
      </c>
      <c r="G11" s="9">
        <v>4</v>
      </c>
      <c r="H11" s="9">
        <v>2</v>
      </c>
      <c r="I11" s="9">
        <v>4</v>
      </c>
      <c r="J11" s="9">
        <v>2</v>
      </c>
      <c r="K11" s="9">
        <v>4</v>
      </c>
      <c r="L11" s="9">
        <v>1</v>
      </c>
      <c r="M11" s="3">
        <f t="shared" si="0"/>
        <v>80</v>
      </c>
      <c r="O11" s="7" t="s">
        <v>23</v>
      </c>
    </row>
    <row r="12" spans="1:15" s="7" customFormat="1" x14ac:dyDescent="0.35">
      <c r="A12" s="1">
        <v>11</v>
      </c>
      <c r="B12" s="2" t="s">
        <v>21</v>
      </c>
      <c r="C12" s="9">
        <v>5</v>
      </c>
      <c r="D12" s="9">
        <v>1</v>
      </c>
      <c r="E12" s="9">
        <v>5</v>
      </c>
      <c r="F12" s="9">
        <v>2</v>
      </c>
      <c r="G12" s="9">
        <v>5</v>
      </c>
      <c r="H12" s="9">
        <v>1</v>
      </c>
      <c r="I12" s="9">
        <v>4</v>
      </c>
      <c r="J12" s="9">
        <v>2</v>
      </c>
      <c r="K12" s="9">
        <v>4</v>
      </c>
      <c r="L12" s="9">
        <v>2</v>
      </c>
      <c r="M12" s="3">
        <f>2.5*((C12+E12+G12+I12+K12)-(D12+F12+H12+J12+L12)+20)</f>
        <v>87.5</v>
      </c>
    </row>
    <row r="13" spans="1:15" s="7" customFormat="1" x14ac:dyDescent="0.35">
      <c r="A13" s="1">
        <v>12</v>
      </c>
      <c r="B13" s="2" t="s">
        <v>22</v>
      </c>
      <c r="C13" s="9">
        <v>4</v>
      </c>
      <c r="D13" s="9">
        <v>2</v>
      </c>
      <c r="E13" s="9">
        <v>5</v>
      </c>
      <c r="F13" s="9">
        <v>2</v>
      </c>
      <c r="G13" s="9">
        <v>4</v>
      </c>
      <c r="H13" s="9">
        <v>2</v>
      </c>
      <c r="I13" s="9">
        <v>5</v>
      </c>
      <c r="J13" s="9">
        <v>1</v>
      </c>
      <c r="K13" s="9">
        <v>4</v>
      </c>
      <c r="L13" s="9">
        <v>2</v>
      </c>
      <c r="M13" s="3">
        <f t="shared" si="0"/>
        <v>82.5</v>
      </c>
    </row>
    <row r="14" spans="1:15" s="7" customFormat="1" x14ac:dyDescent="0.35">
      <c r="B14" s="4"/>
      <c r="C14" s="5">
        <f t="shared" ref="C14:M14" si="1">AVERAGE(C2:C13)</f>
        <v>4.333333333333333</v>
      </c>
      <c r="D14" s="5">
        <f t="shared" si="1"/>
        <v>1.5</v>
      </c>
      <c r="E14" s="5">
        <f t="shared" si="1"/>
        <v>5</v>
      </c>
      <c r="F14" s="5">
        <f t="shared" si="1"/>
        <v>2</v>
      </c>
      <c r="G14" s="5">
        <f t="shared" si="1"/>
        <v>4.333333333333333</v>
      </c>
      <c r="H14" s="5">
        <f t="shared" si="1"/>
        <v>1.5</v>
      </c>
      <c r="I14" s="5">
        <f t="shared" si="1"/>
        <v>4.5</v>
      </c>
      <c r="J14" s="5">
        <f t="shared" si="1"/>
        <v>1.6666666666666667</v>
      </c>
      <c r="K14" s="5">
        <f t="shared" si="1"/>
        <v>4.25</v>
      </c>
      <c r="L14" s="5">
        <f t="shared" si="1"/>
        <v>2</v>
      </c>
      <c r="M14" s="3">
        <f t="shared" si="1"/>
        <v>84.375</v>
      </c>
    </row>
    <row r="18" spans="1:1" s="7" customFormat="1" x14ac:dyDescent="0.35">
      <c r="A18" s="8"/>
    </row>
    <row r="19" spans="1:1" s="7" customForma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>
      <selection activeCell="A11" sqref="A11:XFD11"/>
    </sheetView>
  </sheetViews>
  <sheetFormatPr defaultColWidth="8.6328125" defaultRowHeight="14.5" x14ac:dyDescent="0.35"/>
  <cols>
    <col min="1" max="1" width="34" customWidth="1"/>
    <col min="2" max="2" width="22" customWidth="1"/>
  </cols>
  <sheetData>
    <row r="1" spans="1:2" x14ac:dyDescent="0.35">
      <c r="A1" s="12" t="s">
        <v>15</v>
      </c>
      <c r="B1" s="11">
        <f>COUNT(responses!M2:M13)</f>
        <v>12</v>
      </c>
    </row>
    <row r="2" spans="1:2" x14ac:dyDescent="0.35">
      <c r="A2" s="12" t="s">
        <v>16</v>
      </c>
      <c r="B2" s="3">
        <f>AVERAGE(responses!M2:M13)</f>
        <v>84.375</v>
      </c>
    </row>
    <row r="3" spans="1:2" x14ac:dyDescent="0.35">
      <c r="A3" s="12" t="s">
        <v>17</v>
      </c>
      <c r="B3" s="5">
        <f>STDEV(responses!M2:M13)</f>
        <v>4.4113747599503803</v>
      </c>
    </row>
    <row r="4" spans="1:2" x14ac:dyDescent="0.35">
      <c r="A4" s="12" t="s">
        <v>18</v>
      </c>
      <c r="B4" s="3">
        <f>MEDIAN(responses!M2:M13)</f>
        <v>83.75</v>
      </c>
    </row>
    <row r="5" spans="1:2" x14ac:dyDescent="0.35">
      <c r="A5" s="12" t="s">
        <v>19</v>
      </c>
      <c r="B5" s="3">
        <f>MIN(responses!M2:M13)</f>
        <v>77.5</v>
      </c>
    </row>
    <row r="6" spans="1:2" x14ac:dyDescent="0.35">
      <c r="A6" s="12" t="s">
        <v>20</v>
      </c>
      <c r="B6" s="3">
        <f>MAX(responses!M2:M13)</f>
        <v>92.5</v>
      </c>
    </row>
    <row r="7" spans="1:2" x14ac:dyDescent="0.35">
      <c r="A7" s="12" t="s">
        <v>24</v>
      </c>
      <c r="B7" s="3">
        <f>AVERAGEIF(responses!B2:B13,"SE/ML",responses!M2:M13)</f>
        <v>82.857142857142861</v>
      </c>
    </row>
    <row r="8" spans="1:2" x14ac:dyDescent="0.35">
      <c r="A8" s="12" t="s">
        <v>25</v>
      </c>
      <c r="B8" s="3">
        <f>AVERAGEIF(responses!B2:B13,"No programming",responses!M2:M13)</f>
        <v>86.5</v>
      </c>
    </row>
    <row r="9" spans="1:2" x14ac:dyDescent="0.35">
      <c r="A9" s="6"/>
    </row>
    <row r="10" spans="1:2" x14ac:dyDescent="0.35">
      <c r="A10" s="12" t="s">
        <v>11</v>
      </c>
      <c r="B10" s="9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Flavia Monti</cp:lastModifiedBy>
  <cp:revision>0</cp:revision>
  <dcterms:created xsi:type="dcterms:W3CDTF">2026-07-07T13:41:14Z</dcterms:created>
  <dcterms:modified xsi:type="dcterms:W3CDTF">2026-07-13T13:44:58Z</dcterms:modified>
  <dc:language>en-US</dc:language>
</cp:coreProperties>
</file>